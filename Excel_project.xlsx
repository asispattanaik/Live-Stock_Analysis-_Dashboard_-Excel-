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7e727262f5826a/Documents/"/>
    </mc:Choice>
  </mc:AlternateContent>
  <xr:revisionPtr revIDLastSave="1" documentId="8_{B2F6D4D6-FE3B-4EE3-946A-EA3DDEDA33AB}" xr6:coauthVersionLast="47" xr6:coauthVersionMax="47" xr10:uidLastSave="{928A302D-7A9A-4E07-9A6C-26F8496B1F03}"/>
  <bookViews>
    <workbookView xWindow="-108" yWindow="-108" windowWidth="23256" windowHeight="12456" activeTab="1" xr2:uid="{62B410A0-DDA9-4B35-8F19-63136DCC59EA}"/>
  </bookViews>
  <sheets>
    <sheet name="Google data" sheetId="2" r:id="rId1"/>
    <sheet name="Dashboard" sheetId="1" r:id="rId2"/>
    <sheet name="Support" sheetId="3" r:id="rId3"/>
  </sheets>
  <definedNames>
    <definedName name="ExternalData_1" localSheetId="0" hidden="1">'Google data'!$A$1:$D$13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H2" i="1"/>
  <c r="I2" i="1" s="1"/>
  <c r="N3" i="1"/>
  <c r="N4" i="1"/>
  <c r="N5" i="1"/>
  <c r="N6" i="1"/>
  <c r="N7" i="1"/>
  <c r="N8" i="1"/>
  <c r="N9" i="1"/>
  <c r="N10" i="1"/>
  <c r="N11" i="1"/>
  <c r="N12" i="1"/>
  <c r="N2" i="1"/>
  <c r="M3" i="1"/>
  <c r="M4" i="1"/>
  <c r="M5" i="1"/>
  <c r="M6" i="1"/>
  <c r="M7" i="1"/>
  <c r="M8" i="1"/>
  <c r="M9" i="1"/>
  <c r="M10" i="1"/>
  <c r="M11" i="1"/>
  <c r="M12" i="1"/>
  <c r="M2" i="1"/>
  <c r="G2" i="1"/>
  <c r="H3" i="1"/>
  <c r="I3" i="1" s="1"/>
  <c r="H4" i="1"/>
  <c r="I4" i="1" s="1"/>
  <c r="H5" i="1"/>
  <c r="I5" i="1" s="1"/>
  <c r="H6" i="1"/>
  <c r="I6" i="1" s="1"/>
  <c r="K6" i="1" s="1"/>
  <c r="L6" i="1" s="1"/>
  <c r="H7" i="1"/>
  <c r="I7" i="1" s="1"/>
  <c r="H8" i="1"/>
  <c r="I8" i="1" s="1"/>
  <c r="H9" i="1"/>
  <c r="I9" i="1" s="1"/>
  <c r="H10" i="1"/>
  <c r="I10" i="1" s="1"/>
  <c r="K10" i="1" s="1"/>
  <c r="L10" i="1" s="1"/>
  <c r="H11" i="1"/>
  <c r="I11" i="1" s="1"/>
  <c r="H12" i="1"/>
  <c r="I12" i="1" s="1"/>
  <c r="G3" i="1"/>
  <c r="G4" i="1"/>
  <c r="G5" i="1"/>
  <c r="G6" i="1"/>
  <c r="G7" i="1"/>
  <c r="G8" i="1"/>
  <c r="G9" i="1"/>
  <c r="G10" i="1"/>
  <c r="G11" i="1"/>
  <c r="G12" i="1"/>
  <c r="A12" i="1"/>
  <c r="A11" i="1"/>
  <c r="A10" i="1"/>
  <c r="A9" i="1"/>
  <c r="A8" i="1"/>
  <c r="A7" i="1"/>
  <c r="A6" i="1"/>
  <c r="A5" i="1"/>
  <c r="A4" i="1"/>
  <c r="A3" i="1"/>
  <c r="F8" i="2"/>
  <c r="D8" i="1" s="1"/>
  <c r="F7" i="2"/>
  <c r="D7" i="1" s="1"/>
  <c r="F3" i="2"/>
  <c r="D3" i="1" s="1"/>
  <c r="F4" i="2"/>
  <c r="D4" i="1" s="1"/>
  <c r="F5" i="2"/>
  <c r="D5" i="1" s="1"/>
  <c r="F6" i="2"/>
  <c r="D6" i="1" s="1"/>
  <c r="F9" i="2"/>
  <c r="D9" i="1" s="1"/>
  <c r="F10" i="2"/>
  <c r="D10" i="1" s="1"/>
  <c r="F11" i="2"/>
  <c r="D11" i="1" s="1"/>
  <c r="F12" i="2"/>
  <c r="D12" i="1" s="1"/>
  <c r="F13" i="2"/>
  <c r="F2" i="2"/>
  <c r="D2" i="1" s="1"/>
  <c r="G13" i="1" l="1"/>
  <c r="K9" i="1"/>
  <c r="L9" i="1" s="1"/>
  <c r="K5" i="1"/>
  <c r="L5" i="1" s="1"/>
  <c r="K12" i="1"/>
  <c r="L12" i="1" s="1"/>
  <c r="K8" i="1"/>
  <c r="L8" i="1" s="1"/>
  <c r="K4" i="1"/>
  <c r="L4" i="1" s="1"/>
  <c r="K11" i="1"/>
  <c r="L11" i="1" s="1"/>
  <c r="K7" i="1"/>
  <c r="L7" i="1" s="1"/>
  <c r="K3" i="1"/>
  <c r="L3" i="1" s="1"/>
  <c r="M13" i="1"/>
  <c r="K2" i="1"/>
  <c r="I13" i="1"/>
  <c r="K13" i="1" l="1"/>
  <c r="L2" i="1"/>
  <c r="J12" i="1"/>
  <c r="J2" i="1"/>
  <c r="J3" i="1"/>
  <c r="J7" i="1"/>
  <c r="J11" i="1"/>
  <c r="G7" i="3" s="1"/>
  <c r="J5" i="1"/>
  <c r="J9" i="1"/>
  <c r="J10" i="1"/>
  <c r="J6" i="1"/>
  <c r="G5" i="3" s="1"/>
  <c r="J4" i="1"/>
  <c r="J8" i="1"/>
  <c r="G6" i="3" l="1"/>
  <c r="G4" i="3"/>
  <c r="G3" i="3"/>
  <c r="G2" i="3"/>
  <c r="B2" i="3"/>
  <c r="B3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915DA8-4686-4FCA-921F-AF666A477EDE}" keepAlive="1" interval="1" name="Query - STOCKS" description="Connection to the 'STOCKS' query in the workbook." type="5" refreshedVersion="8" background="1" refreshOnLoad="1" saveData="1">
    <dbPr connection="Provider=Microsoft.Mashup.OleDb.1;Data Source=$Workbook$;Location=STOCKS;Extended Properties=&quot;&quot;" command="SELECT * FROM [STOCKS]"/>
  </connection>
</connections>
</file>

<file path=xl/sharedStrings.xml><?xml version="1.0" encoding="utf-8"?>
<sst xmlns="http://schemas.openxmlformats.org/spreadsheetml/2006/main" count="67" uniqueCount="54">
  <si>
    <t>Company name</t>
  </si>
  <si>
    <t>Price</t>
  </si>
  <si>
    <t>Price Change</t>
  </si>
  <si>
    <t>Market Cap</t>
  </si>
  <si>
    <t>AMBA</t>
  </si>
  <si>
    <t>WMT</t>
  </si>
  <si>
    <t>EXFY</t>
  </si>
  <si>
    <t>JPM</t>
  </si>
  <si>
    <t>XOM</t>
  </si>
  <si>
    <t>BMW</t>
  </si>
  <si>
    <t>PG</t>
  </si>
  <si>
    <t>MA</t>
  </si>
  <si>
    <t>CLOV</t>
  </si>
  <si>
    <t>TM</t>
  </si>
  <si>
    <t>RELIANCE</t>
  </si>
  <si>
    <t>AAPL</t>
  </si>
  <si>
    <t>MARKET CAP IN BILLIONS</t>
  </si>
  <si>
    <t>SYMBOL</t>
  </si>
  <si>
    <t>NAME</t>
  </si>
  <si>
    <t>SECTOR</t>
  </si>
  <si>
    <t>CAP SIZE</t>
  </si>
  <si>
    <t># OF SHARES</t>
  </si>
  <si>
    <t>PRICE PAID PER SHARE</t>
  </si>
  <si>
    <t>AMOUNT PAID</t>
  </si>
  <si>
    <t>CURRENT PRICE</t>
  </si>
  <si>
    <t>TOTAL VALUE</t>
  </si>
  <si>
    <t>ALLOCATION</t>
  </si>
  <si>
    <t>TOTAL GAIN/LOSS($)</t>
  </si>
  <si>
    <t>TOTAL GAIN/LOSS(%)</t>
  </si>
  <si>
    <t>1 DAY RETURN($)</t>
  </si>
  <si>
    <t>1 DAY RETURN(%)</t>
  </si>
  <si>
    <t>AMBARELLA</t>
  </si>
  <si>
    <t>TECHNOLOGY</t>
  </si>
  <si>
    <t>WALMART</t>
  </si>
  <si>
    <t>CONSUMER DEFENSIVE</t>
  </si>
  <si>
    <t>EXPENSIFY</t>
  </si>
  <si>
    <t>JP MORGAN</t>
  </si>
  <si>
    <t>FINANCIAL SERVICES</t>
  </si>
  <si>
    <t>EXXON</t>
  </si>
  <si>
    <t>ENERGY</t>
  </si>
  <si>
    <t>APPLE</t>
  </si>
  <si>
    <t>AUTO MANUFACTURERS</t>
  </si>
  <si>
    <t>PROCTER &amp; GAMBLE</t>
  </si>
  <si>
    <t>MASTERCARD</t>
  </si>
  <si>
    <t>CLOVER HEALTH</t>
  </si>
  <si>
    <t>HEALTHCARE</t>
  </si>
  <si>
    <t>TOYOTA</t>
  </si>
  <si>
    <t>Total</t>
  </si>
  <si>
    <t>Cap size</t>
  </si>
  <si>
    <t>Small</t>
  </si>
  <si>
    <t>Mid</t>
  </si>
  <si>
    <t>Large</t>
  </si>
  <si>
    <t>Allocation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</si>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</sst>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8" formatCode="_-[$$-409]* #,##0_ ;_-[$$-409]* \-#,##0\ ;_-[$$-409]* &quot;-&quot;??_ ;_-@_ "/>
    <numFmt numFmtId="169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NumberFormat="1"/>
    <xf numFmtId="164" fontId="0" fillId="0" borderId="0" xfId="0" applyNumberFormat="1"/>
    <xf numFmtId="9" fontId="0" fillId="0" borderId="0" xfId="2" applyFont="1"/>
    <xf numFmtId="0" fontId="0" fillId="0" borderId="0" xfId="0" applyFont="1"/>
    <xf numFmtId="0" fontId="0" fillId="2" borderId="5" xfId="0" applyFill="1" applyBorder="1"/>
    <xf numFmtId="168" fontId="0" fillId="2" borderId="5" xfId="0" applyNumberFormat="1" applyFill="1" applyBorder="1"/>
    <xf numFmtId="164" fontId="0" fillId="2" borderId="5" xfId="0" applyNumberFormat="1" applyFill="1" applyBorder="1"/>
    <xf numFmtId="10" fontId="0" fillId="2" borderId="5" xfId="2" applyNumberFormat="1" applyFont="1" applyFill="1" applyBorder="1"/>
    <xf numFmtId="9" fontId="0" fillId="2" borderId="5" xfId="2" applyFont="1" applyFill="1" applyBorder="1"/>
    <xf numFmtId="168" fontId="0" fillId="2" borderId="5" xfId="1" applyNumberFormat="1" applyFont="1" applyFill="1" applyBorder="1"/>
    <xf numFmtId="10" fontId="0" fillId="2" borderId="6" xfId="2" applyNumberFormat="1" applyFont="1" applyFill="1" applyBorder="1"/>
    <xf numFmtId="0" fontId="0" fillId="2" borderId="0" xfId="0" applyFill="1" applyBorder="1"/>
    <xf numFmtId="168" fontId="0" fillId="2" borderId="0" xfId="0" applyNumberFormat="1" applyFill="1" applyBorder="1"/>
    <xf numFmtId="164" fontId="0" fillId="2" borderId="0" xfId="0" applyNumberFormat="1" applyFill="1" applyBorder="1"/>
    <xf numFmtId="169" fontId="0" fillId="2" borderId="0" xfId="2" applyNumberFormat="1" applyFont="1" applyFill="1" applyBorder="1"/>
    <xf numFmtId="9" fontId="0" fillId="2" borderId="0" xfId="2" applyFont="1" applyFill="1" applyBorder="1"/>
    <xf numFmtId="168" fontId="0" fillId="2" borderId="0" xfId="1" applyNumberFormat="1" applyFont="1" applyFill="1" applyBorder="1"/>
    <xf numFmtId="10" fontId="0" fillId="2" borderId="8" xfId="2" applyNumberFormat="1" applyFont="1" applyFill="1" applyBorder="1"/>
    <xf numFmtId="0" fontId="0" fillId="0" borderId="5" xfId="0" applyFill="1" applyBorder="1"/>
    <xf numFmtId="0" fontId="0" fillId="0" borderId="0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4" xfId="0" applyFill="1" applyBorder="1"/>
    <xf numFmtId="0" fontId="0" fillId="3" borderId="7" xfId="0" applyFill="1" applyBorder="1"/>
    <xf numFmtId="0" fontId="2" fillId="0" borderId="1" xfId="0" applyFont="1" applyFill="1" applyBorder="1"/>
    <xf numFmtId="0" fontId="2" fillId="0" borderId="2" xfId="0" applyFont="1" applyBorder="1"/>
    <xf numFmtId="168" fontId="2" fillId="0" borderId="2" xfId="0" applyNumberFormat="1" applyFont="1" applyBorder="1"/>
    <xf numFmtId="9" fontId="2" fillId="0" borderId="2" xfId="2" applyFont="1" applyBorder="1"/>
    <xf numFmtId="0" fontId="2" fillId="0" borderId="3" xfId="0" applyFont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4" fillId="3" borderId="0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4">
    <dxf>
      <numFmt numFmtId="164" formatCode="_-[$$-409]* #,##0.00_ ;_-[$$-409]* \-#,##0.00\ ;_-[$$-409]* &quot;-&quot;??_ ;_-@_ "/>
    </dxf>
    <dxf>
      <numFmt numFmtId="0" formatCode="General"/>
    </dxf>
    <dxf>
      <font>
        <color rgb="FF00B050"/>
      </font>
    </dxf>
    <dxf>
      <font>
        <color rgb="FF9C0006"/>
      </font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07-4D2E-A222-A1D3181BB1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B07-4D2E-A222-A1D3181BB1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07-4D2E-A222-A1D3181BB1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B07-4D2E-A222-A1D3181BB1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07-4D2E-A222-A1D3181BB1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B07-4D2E-A222-A1D3181BB1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B07-4D2E-A222-A1D3181BB1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B07-4D2E-A222-A1D3181BB1E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B07-4D2E-A222-A1D3181BB1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B07-4D2E-A222-A1D3181BB1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B07-4D2E-A222-A1D3181BB1E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B07-4D2E-A222-A1D3181BB1E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B07-4D2E-A222-A1D3181BB1E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B07-4D2E-A222-A1D3181BB1E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BB07-4D2E-A222-A1D3181BB1E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B07-4D2E-A222-A1D3181BB1E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BB07-4D2E-A222-A1D3181BB1E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B07-4D2E-A222-A1D3181BB1E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BB07-4D2E-A222-A1D3181BB1E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B07-4D2E-A222-A1D3181BB1E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BB07-4D2E-A222-A1D3181BB1E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B07-4D2E-A222-A1D3181BB1E9}"/>
                </c:ext>
              </c:extLst>
            </c:dLbl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Dashboard!$A$2:$A$12</c:f>
              <c:strCache>
                <c:ptCount val="11"/>
                <c:pt idx="0">
                  <c:v>AMBA</c:v>
                </c:pt>
                <c:pt idx="1">
                  <c:v>WMT</c:v>
                </c:pt>
                <c:pt idx="2">
                  <c:v>EXFY</c:v>
                </c:pt>
                <c:pt idx="3">
                  <c:v>JPM</c:v>
                </c:pt>
                <c:pt idx="4">
                  <c:v>XOM</c:v>
                </c:pt>
                <c:pt idx="5">
                  <c:v>AAPL</c:v>
                </c:pt>
                <c:pt idx="6">
                  <c:v>BMW</c:v>
                </c:pt>
                <c:pt idx="7">
                  <c:v>PG</c:v>
                </c:pt>
                <c:pt idx="8">
                  <c:v>MA</c:v>
                </c:pt>
                <c:pt idx="9">
                  <c:v>CLOV</c:v>
                </c:pt>
                <c:pt idx="10">
                  <c:v>TM</c:v>
                </c:pt>
              </c:strCache>
            </c:strRef>
          </c:cat>
          <c:val>
            <c:numRef>
              <c:f>Dashboard!$J$2:$J$12</c:f>
              <c:numCache>
                <c:formatCode>0.0%</c:formatCode>
                <c:ptCount val="11"/>
                <c:pt idx="0" formatCode="0.00%">
                  <c:v>0.17318221874588952</c:v>
                </c:pt>
                <c:pt idx="1">
                  <c:v>0.10587155373994128</c:v>
                </c:pt>
                <c:pt idx="2">
                  <c:v>1.8219919403118456E-2</c:v>
                </c:pt>
                <c:pt idx="3">
                  <c:v>7.4895177662308438E-2</c:v>
                </c:pt>
                <c:pt idx="4">
                  <c:v>7.9442869545326811E-2</c:v>
                </c:pt>
                <c:pt idx="5">
                  <c:v>0.16784074151905476</c:v>
                </c:pt>
                <c:pt idx="6">
                  <c:v>0.1069069477805047</c:v>
                </c:pt>
                <c:pt idx="7">
                  <c:v>7.5855178932927911E-2</c:v>
                </c:pt>
                <c:pt idx="8">
                  <c:v>6.7903754796173887E-2</c:v>
                </c:pt>
                <c:pt idx="9">
                  <c:v>8.0217907220350493E-2</c:v>
                </c:pt>
                <c:pt idx="10">
                  <c:v>4.9663730654403715E-2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7-4D2E-A222-A1D3181BB1E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 Size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95-462C-A380-A157CDC844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95-462C-A380-A157CDC844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95-462C-A380-A157CDC844F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595-462C-A380-A157CDC844F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595-462C-A380-A157CDC844F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595-462C-A380-A157CDC844F7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Support!$A$2:$A$4</c:f>
              <c:strCache>
                <c:ptCount val="3"/>
                <c:pt idx="0">
                  <c:v>Small</c:v>
                </c:pt>
                <c:pt idx="1">
                  <c:v>Mid</c:v>
                </c:pt>
                <c:pt idx="2">
                  <c:v>Large</c:v>
                </c:pt>
              </c:strCache>
            </c:strRef>
          </c:cat>
          <c:val>
            <c:numRef>
              <c:f>Support!$B$2:$B$4</c:f>
              <c:numCache>
                <c:formatCode>0%</c:formatCode>
                <c:ptCount val="3"/>
                <c:pt idx="0">
                  <c:v>9.8437826623468949E-2</c:v>
                </c:pt>
                <c:pt idx="1">
                  <c:v>0.17318221874588952</c:v>
                </c:pt>
                <c:pt idx="2">
                  <c:v>0.72837995463064154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595-462C-A380-A157CDC844F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sector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D2-4203-9A52-BF19DA43FB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D2-4203-9A52-BF19DA43FB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D2-4203-9A52-BF19DA43FB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D2-4203-9A52-BF19DA43FB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3D2-4203-9A52-BF19DA43FB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3D2-4203-9A52-BF19DA43FBC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3D2-4203-9A52-BF19DA43FBC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3D2-4203-9A52-BF19DA43FBC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3D2-4203-9A52-BF19DA43FBC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3D2-4203-9A52-BF19DA43FBC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03D2-4203-9A52-BF19DA43FBC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3D2-4203-9A52-BF19DA43FB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Support!$F$2:$F$7</c:f>
              <c:strCache>
                <c:ptCount val="6"/>
                <c:pt idx="0">
                  <c:v>TECHNOLOGY</c:v>
                </c:pt>
                <c:pt idx="1">
                  <c:v>CONSUMER DEFENSIVE</c:v>
                </c:pt>
                <c:pt idx="2">
                  <c:v>FINANCIAL SERVICES</c:v>
                </c:pt>
                <c:pt idx="3">
                  <c:v>ENERGY</c:v>
                </c:pt>
                <c:pt idx="4">
                  <c:v>AUTO MANUFACTURERS</c:v>
                </c:pt>
                <c:pt idx="5">
                  <c:v>HEALTHCARE</c:v>
                </c:pt>
              </c:strCache>
            </c:strRef>
          </c:cat>
          <c:val>
            <c:numRef>
              <c:f>Support!$G$2:$G$7</c:f>
              <c:numCache>
                <c:formatCode>0%</c:formatCode>
                <c:ptCount val="6"/>
                <c:pt idx="0">
                  <c:v>0.35924287966806273</c:v>
                </c:pt>
                <c:pt idx="1">
                  <c:v>0.18172673267286921</c:v>
                </c:pt>
                <c:pt idx="2">
                  <c:v>0.14279893245848232</c:v>
                </c:pt>
                <c:pt idx="3">
                  <c:v>7.9442869545326811E-2</c:v>
                </c:pt>
                <c:pt idx="4">
                  <c:v>0.15657067843490841</c:v>
                </c:pt>
                <c:pt idx="5">
                  <c:v>8.0217907220350493E-2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D2-4203-9A52-BF19DA43FB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20052</xdr:colOff>
      <xdr:row>13</xdr:row>
      <xdr:rowOff>42110</xdr:rowOff>
    </xdr:from>
    <xdr:to>
      <xdr:col>3</xdr:col>
      <xdr:colOff>691816</xdr:colOff>
      <xdr:row>33</xdr:row>
      <xdr:rowOff>80210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9D4C9-904E-D0BF-2897-29838FB99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812130</xdr:colOff>
      <xdr:row>13</xdr:row>
      <xdr:rowOff>40105</xdr:rowOff>
    </xdr:from>
    <xdr:to>
      <xdr:col>8</xdr:col>
      <xdr:colOff>561473</xdr:colOff>
      <xdr:row>33</xdr:row>
      <xdr:rowOff>110289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7B0984-B8F0-4569-B895-52AED8714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882316</xdr:colOff>
      <xdr:row>13</xdr:row>
      <xdr:rowOff>50130</xdr:rowOff>
    </xdr:from>
    <xdr:to>
      <xdr:col>13</xdr:col>
      <xdr:colOff>1894975</xdr:colOff>
      <xdr:row>33</xdr:row>
      <xdr:rowOff>130341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9AE79F-63A9-487D-9AD0-C79124793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1D54AB23-A9DF-4367-872A-00719B2B6982}" autoFormatId="16" applyNumberFormats="0" applyBorderFormats="0" applyFontFormats="0" applyPatternFormats="0" applyAlignmentFormats="0" applyWidthHeightFormats="0">
  <queryTableRefresh nextId="9">
    <queryTableFields count="4">
      <queryTableField id="1" name="Company name" tableColumnId="1"/>
      <queryTableField id="2" name="Price" tableColumnId="2"/>
      <queryTableField id="3" name="Price Change" tableColumnId="3"/>
      <queryTableField id="4" name="Market Cap" tableColumnId="4"/>
    </queryTableFields>
    <queryTableDeletedFields count="2">
      <deletedField name="Column5"/>
      <deletedField name="MARKET CAP IN BILLIO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5FDAC4-82B0-4BB3-9CE5-ED8119BAAD9C}" name="STOCKS" displayName="STOCKS" ref="A1:D13" tableType="queryTable" totalsRowShown="0">
  <autoFilter ref="A1:D13" xr:uid="{DB5FDAC4-82B0-4BB3-9CE5-ED8119BAAD9C}"/>
  <tableColumns count="4">
    <tableColumn id="1" xr3:uid="{B84FE75C-1D1E-4463-AFE5-2C0F84CC228C}" uniqueName="1" name="Company name" queryTableFieldId="1" dataDxfId="1"/>
    <tableColumn id="2" xr3:uid="{1059033D-51C6-4D08-93C7-C3393D8E0872}" uniqueName="2" name="Price" queryTableFieldId="2"/>
    <tableColumn id="3" xr3:uid="{2EF20568-B596-4C5B-A032-19C74043AADC}" uniqueName="3" name="Price Change" queryTableFieldId="3"/>
    <tableColumn id="4" xr3:uid="{DB55D882-EDE2-41CD-9675-D6B1479EDEBE}" uniqueName="4" name="Market Cap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636-136A-416B-A445-1FF8BDD51EB8}">
  <dimension ref="A1:F13"/>
  <sheetViews>
    <sheetView workbookViewId="0">
      <selection activeCell="C27" sqref="C27"/>
    </sheetView>
  </sheetViews>
  <sheetFormatPr defaultRowHeight="14.4" x14ac:dyDescent="0.3"/>
  <cols>
    <col min="1" max="1" width="16.6640625" bestFit="1" customWidth="1"/>
    <col min="2" max="2" width="7.33203125" bestFit="1" customWidth="1"/>
    <col min="3" max="3" width="14.109375" bestFit="1" customWidth="1"/>
    <col min="4" max="4" width="22.6640625" bestFit="1" customWidth="1"/>
    <col min="5" max="5" width="10.77734375" bestFit="1" customWidth="1"/>
    <col min="6" max="6" width="25.109375" bestFit="1" customWidth="1"/>
    <col min="7" max="7" width="10.77734375" bestFit="1" customWidth="1"/>
    <col min="8" max="8" width="25.109375" bestFit="1" customWidth="1"/>
    <col min="10" max="10" width="1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t="s">
        <v>16</v>
      </c>
    </row>
    <row r="2" spans="1:6" x14ac:dyDescent="0.3">
      <c r="A2" s="1" t="s">
        <v>4</v>
      </c>
      <c r="B2">
        <v>86.14</v>
      </c>
      <c r="C2">
        <v>2.82</v>
      </c>
      <c r="D2" s="2">
        <v>3677230433</v>
      </c>
      <c r="F2" s="2">
        <f>STOCKS[[#This Row],[Market Cap]]/1000000000</f>
        <v>3.6772304330000001</v>
      </c>
    </row>
    <row r="3" spans="1:6" x14ac:dyDescent="0.3">
      <c r="A3" s="1" t="s">
        <v>5</v>
      </c>
      <c r="B3">
        <v>105.32</v>
      </c>
      <c r="C3">
        <v>-1.79</v>
      </c>
      <c r="D3" s="2">
        <v>839700664886</v>
      </c>
      <c r="F3" s="2">
        <f>STOCKS[[#This Row],[Market Cap]]/1000000000</f>
        <v>839.70066488600003</v>
      </c>
    </row>
    <row r="4" spans="1:6" x14ac:dyDescent="0.3">
      <c r="A4" s="1" t="s">
        <v>6</v>
      </c>
      <c r="B4">
        <v>1.45</v>
      </c>
      <c r="C4">
        <v>0.01</v>
      </c>
      <c r="D4" s="2">
        <v>134906380</v>
      </c>
      <c r="F4" s="2">
        <f>STOCKS[[#This Row],[Market Cap]]/1000000000</f>
        <v>0.13490637999999999</v>
      </c>
    </row>
    <row r="5" spans="1:6" x14ac:dyDescent="0.3">
      <c r="A5" s="1" t="s">
        <v>7</v>
      </c>
      <c r="B5">
        <v>298.02</v>
      </c>
      <c r="C5">
        <v>-0.36</v>
      </c>
      <c r="D5" s="2">
        <v>819481656870</v>
      </c>
      <c r="F5" s="2">
        <f>STOCKS[[#This Row],[Market Cap]]/1000000000</f>
        <v>819.48165687000005</v>
      </c>
    </row>
    <row r="6" spans="1:6" x14ac:dyDescent="0.3">
      <c r="A6" s="1" t="s">
        <v>8</v>
      </c>
      <c r="B6">
        <v>117.08</v>
      </c>
      <c r="C6">
        <v>0.06</v>
      </c>
      <c r="D6" s="2">
        <v>493745685921</v>
      </c>
      <c r="F6" s="2">
        <f>STOCKS[[#This Row],[Market Cap]]/1000000000</f>
        <v>493.74568592100002</v>
      </c>
    </row>
    <row r="7" spans="1:6" x14ac:dyDescent="0.3">
      <c r="A7" s="1" t="s">
        <v>15</v>
      </c>
      <c r="B7">
        <v>271.49</v>
      </c>
      <c r="C7">
        <v>5.24</v>
      </c>
      <c r="D7" s="2">
        <v>4011631117199</v>
      </c>
      <c r="F7" s="2">
        <f>STOCKS[[#This Row],[Market Cap]]/1000000000</f>
        <v>4011.6311171990001</v>
      </c>
    </row>
    <row r="8" spans="1:6" x14ac:dyDescent="0.3">
      <c r="A8" s="1" t="s">
        <v>9</v>
      </c>
      <c r="B8">
        <v>85.08</v>
      </c>
      <c r="C8">
        <v>0.66</v>
      </c>
      <c r="D8" s="2">
        <v>52764409800</v>
      </c>
      <c r="F8" s="2">
        <f>STOCKS[[#This Row],[Market Cap]]/10000000</f>
        <v>5276.4409800000003</v>
      </c>
    </row>
    <row r="9" spans="1:6" x14ac:dyDescent="0.3">
      <c r="A9" s="1" t="s">
        <v>10</v>
      </c>
      <c r="B9">
        <v>150.91999999999999</v>
      </c>
      <c r="C9">
        <v>2.73</v>
      </c>
      <c r="D9" s="2">
        <v>352659740081</v>
      </c>
      <c r="F9" s="2">
        <f>STOCKS[[#This Row],[Market Cap]]/1000000000</f>
        <v>352.659740081</v>
      </c>
    </row>
    <row r="10" spans="1:6" x14ac:dyDescent="0.3">
      <c r="A10" s="1" t="s">
        <v>11</v>
      </c>
      <c r="B10">
        <v>540.4</v>
      </c>
      <c r="C10">
        <v>12.52</v>
      </c>
      <c r="D10" s="2">
        <v>485277006283</v>
      </c>
      <c r="F10" s="2">
        <f>STOCKS[[#This Row],[Market Cap]]/1000000000</f>
        <v>485.27700628299999</v>
      </c>
    </row>
    <row r="11" spans="1:6" x14ac:dyDescent="0.3">
      <c r="A11" s="1" t="s">
        <v>12</v>
      </c>
      <c r="B11">
        <v>2.2799999999999998</v>
      </c>
      <c r="C11">
        <v>0.12</v>
      </c>
      <c r="D11" s="2">
        <v>1178026281</v>
      </c>
      <c r="F11" s="2">
        <f>STOCKS[[#This Row],[Market Cap]]/1000000000</f>
        <v>1.178026281</v>
      </c>
    </row>
    <row r="12" spans="1:6" x14ac:dyDescent="0.3">
      <c r="A12" s="1" t="s">
        <v>13</v>
      </c>
      <c r="B12">
        <v>197.62</v>
      </c>
      <c r="C12">
        <v>6.37</v>
      </c>
      <c r="D12" s="2">
        <v>315517119904</v>
      </c>
      <c r="F12" s="2">
        <f>STOCKS[[#This Row],[Market Cap]]/1000000000</f>
        <v>315.51711990400003</v>
      </c>
    </row>
    <row r="13" spans="1:6" x14ac:dyDescent="0.3">
      <c r="A13" s="1" t="s">
        <v>14</v>
      </c>
      <c r="B13">
        <v>1543.7</v>
      </c>
      <c r="C13">
        <v>-5.4</v>
      </c>
      <c r="D13" s="2">
        <v>20914507590424</v>
      </c>
      <c r="F13" s="2">
        <f>STOCKS[[#This Row],[Market Cap]]/1000000000</f>
        <v>20914.507590424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0BF2-E9DB-45CC-A018-38A94C85CC64}">
  <dimension ref="A1:N23"/>
  <sheetViews>
    <sheetView showGridLines="0" tabSelected="1" topLeftCell="A14" zoomScale="65" zoomScaleNormal="65" workbookViewId="0">
      <selection activeCell="K43" sqref="K43"/>
    </sheetView>
  </sheetViews>
  <sheetFormatPr defaultRowHeight="14.4" x14ac:dyDescent="0.3"/>
  <cols>
    <col min="1" max="1" width="20.44140625" customWidth="1"/>
    <col min="2" max="2" width="28.33203125" customWidth="1"/>
    <col min="3" max="3" width="24.44140625" customWidth="1"/>
    <col min="4" max="4" width="18.33203125" customWidth="1"/>
    <col min="5" max="5" width="21.109375" customWidth="1"/>
    <col min="6" max="6" width="24.109375" customWidth="1"/>
    <col min="7" max="7" width="13.77734375" customWidth="1"/>
    <col min="8" max="8" width="19.88671875" customWidth="1"/>
    <col min="9" max="9" width="14.33203125" customWidth="1"/>
    <col min="10" max="10" width="16.44140625" customWidth="1"/>
    <col min="11" max="11" width="22" customWidth="1"/>
    <col min="12" max="12" width="21.6640625" customWidth="1"/>
    <col min="13" max="13" width="17.77734375" customWidth="1"/>
    <col min="14" max="14" width="27.88671875" customWidth="1"/>
  </cols>
  <sheetData>
    <row r="1" spans="1:14" ht="15" thickBot="1" x14ac:dyDescent="0.35">
      <c r="A1" s="30" t="s">
        <v>17</v>
      </c>
      <c r="B1" s="31" t="s">
        <v>18</v>
      </c>
      <c r="C1" s="31" t="s">
        <v>19</v>
      </c>
      <c r="D1" s="31" t="s">
        <v>20</v>
      </c>
      <c r="E1" s="31" t="s">
        <v>21</v>
      </c>
      <c r="F1" s="31" t="s">
        <v>22</v>
      </c>
      <c r="G1" s="31" t="s">
        <v>23</v>
      </c>
      <c r="H1" s="31" t="s">
        <v>24</v>
      </c>
      <c r="I1" s="31" t="s">
        <v>25</v>
      </c>
      <c r="J1" s="31" t="s">
        <v>26</v>
      </c>
      <c r="K1" s="31" t="s">
        <v>27</v>
      </c>
      <c r="L1" s="31" t="s">
        <v>28</v>
      </c>
      <c r="M1" s="31" t="s">
        <v>29</v>
      </c>
      <c r="N1" s="32" t="s">
        <v>30</v>
      </c>
    </row>
    <row r="2" spans="1:14" x14ac:dyDescent="0.3">
      <c r="A2" s="23" t="str">
        <f>STOCKS[[#This Row],[Company name]]</f>
        <v>AMBA</v>
      </c>
      <c r="B2" s="21" t="s">
        <v>31</v>
      </c>
      <c r="C2" s="21" t="s">
        <v>32</v>
      </c>
      <c r="D2" s="5" t="str">
        <f>IF('Google data'!F2&gt;10,"Large",IF('Google data'!F2&gt;2,"Mid","Small"))</f>
        <v>Mid</v>
      </c>
      <c r="E2" s="21">
        <v>400</v>
      </c>
      <c r="F2" s="21">
        <v>69.41</v>
      </c>
      <c r="G2" s="6">
        <f>E2*F2</f>
        <v>27764</v>
      </c>
      <c r="H2" s="7">
        <f>STOCKS[[#This Row],[Price]]</f>
        <v>86.14</v>
      </c>
      <c r="I2" s="6">
        <f>E2*H2</f>
        <v>34456</v>
      </c>
      <c r="J2" s="8">
        <f>I2/$I$13</f>
        <v>0.17318221874588952</v>
      </c>
      <c r="K2" s="6">
        <f>I2-G2</f>
        <v>6692</v>
      </c>
      <c r="L2" s="9">
        <f>K2/G2</f>
        <v>0.2410315516496182</v>
      </c>
      <c r="M2" s="10">
        <f>STOCKS[[#This Row],[Price Change]]*Dashboard!E2</f>
        <v>1128</v>
      </c>
      <c r="N2" s="11">
        <f>STOCKS[[#This Row],[Price]]/STOCKS[[#This Row],[Price]]-STOCKS[[#This Row],[Price Change]]-1</f>
        <v>-2.82</v>
      </c>
    </row>
    <row r="3" spans="1:14" x14ac:dyDescent="0.3">
      <c r="A3" s="24" t="str">
        <f>STOCKS[[#This Row],[Company name]]</f>
        <v>WMT</v>
      </c>
      <c r="B3" s="22" t="s">
        <v>33</v>
      </c>
      <c r="C3" s="22" t="s">
        <v>34</v>
      </c>
      <c r="D3" s="12" t="str">
        <f>IF('Google data'!F3&gt;10,"Large",IF('Google data'!F3&gt;2,"Mid","Small"))</f>
        <v>Large</v>
      </c>
      <c r="E3" s="22">
        <v>200</v>
      </c>
      <c r="F3" s="22">
        <v>103.37</v>
      </c>
      <c r="G3" s="13">
        <f t="shared" ref="G3:G12" si="0">E3*F3</f>
        <v>20674</v>
      </c>
      <c r="H3" s="14">
        <f>STOCKS[[#This Row],[Price]]</f>
        <v>105.32</v>
      </c>
      <c r="I3" s="13">
        <f t="shared" ref="I3:I12" si="1">E3*H3</f>
        <v>21064</v>
      </c>
      <c r="J3" s="15">
        <f>I3/$I$13</f>
        <v>0.10587155373994128</v>
      </c>
      <c r="K3" s="13">
        <f t="shared" ref="K3:K12" si="2">I3-G3</f>
        <v>390</v>
      </c>
      <c r="L3" s="16">
        <f t="shared" ref="L3:L12" si="3">K3/G3</f>
        <v>1.8864273967301923E-2</v>
      </c>
      <c r="M3" s="17">
        <f>STOCKS[[#This Row],[Price Change]]*Dashboard!E3</f>
        <v>-358</v>
      </c>
      <c r="N3" s="18">
        <f>STOCKS[[#This Row],[Price]]/STOCKS[[#This Row],[Price]]-STOCKS[[#This Row],[Price Change]]-1</f>
        <v>1.79</v>
      </c>
    </row>
    <row r="4" spans="1:14" x14ac:dyDescent="0.3">
      <c r="A4" s="24" t="str">
        <f>STOCKS[[#This Row],[Company name]]</f>
        <v>EXFY</v>
      </c>
      <c r="B4" s="22" t="s">
        <v>35</v>
      </c>
      <c r="C4" s="22" t="s">
        <v>32</v>
      </c>
      <c r="D4" s="12" t="str">
        <f>IF('Google data'!F4&gt;10,"Large",IF('Google data'!F4&gt;2,"Mid","Small"))</f>
        <v>Small</v>
      </c>
      <c r="E4" s="22">
        <v>2500</v>
      </c>
      <c r="F4" s="22">
        <v>13.81</v>
      </c>
      <c r="G4" s="13">
        <f t="shared" si="0"/>
        <v>34525</v>
      </c>
      <c r="H4" s="14">
        <f>STOCKS[[#This Row],[Price]]</f>
        <v>1.45</v>
      </c>
      <c r="I4" s="13">
        <f t="shared" si="1"/>
        <v>3625</v>
      </c>
      <c r="J4" s="15">
        <f>I4/$I$13</f>
        <v>1.8219919403118456E-2</v>
      </c>
      <c r="K4" s="13">
        <f t="shared" si="2"/>
        <v>-30900</v>
      </c>
      <c r="L4" s="16">
        <f t="shared" si="3"/>
        <v>-0.89500362056480809</v>
      </c>
      <c r="M4" s="17">
        <f>STOCKS[[#This Row],[Price Change]]*Dashboard!E4</f>
        <v>25</v>
      </c>
      <c r="N4" s="18">
        <f>STOCKS[[#This Row],[Price]]/STOCKS[[#This Row],[Price]]-STOCKS[[#This Row],[Price Change]]-1</f>
        <v>-1.0000000000000009E-2</v>
      </c>
    </row>
    <row r="5" spans="1:14" x14ac:dyDescent="0.3">
      <c r="A5" s="24" t="str">
        <f>STOCKS[[#This Row],[Company name]]</f>
        <v>JPM</v>
      </c>
      <c r="B5" s="22" t="s">
        <v>36</v>
      </c>
      <c r="C5" s="22" t="s">
        <v>37</v>
      </c>
      <c r="D5" s="12" t="str">
        <f>IF('Google data'!F5&gt;10,"Large",IF('Google data'!F5&gt;2,"Mid","Small"))</f>
        <v>Large</v>
      </c>
      <c r="E5" s="22">
        <v>50</v>
      </c>
      <c r="F5" s="22">
        <v>240.02</v>
      </c>
      <c r="G5" s="13">
        <f t="shared" si="0"/>
        <v>12001</v>
      </c>
      <c r="H5" s="14">
        <f>STOCKS[[#This Row],[Price]]</f>
        <v>298.02</v>
      </c>
      <c r="I5" s="13">
        <f t="shared" si="1"/>
        <v>14901</v>
      </c>
      <c r="J5" s="15">
        <f>I5/$I$13</f>
        <v>7.4895177662308438E-2</v>
      </c>
      <c r="K5" s="13">
        <f t="shared" si="2"/>
        <v>2900</v>
      </c>
      <c r="L5" s="16">
        <f t="shared" si="3"/>
        <v>0.24164652945587867</v>
      </c>
      <c r="M5" s="17">
        <f>STOCKS[[#This Row],[Price Change]]*Dashboard!E5</f>
        <v>-18</v>
      </c>
      <c r="N5" s="18">
        <f>STOCKS[[#This Row],[Price]]/STOCKS[[#This Row],[Price]]-STOCKS[[#This Row],[Price Change]]-1</f>
        <v>0.35999999999999988</v>
      </c>
    </row>
    <row r="6" spans="1:14" x14ac:dyDescent="0.3">
      <c r="A6" s="24" t="str">
        <f>STOCKS[[#This Row],[Company name]]</f>
        <v>XOM</v>
      </c>
      <c r="B6" s="22" t="s">
        <v>38</v>
      </c>
      <c r="C6" s="22" t="s">
        <v>39</v>
      </c>
      <c r="D6" s="12" t="str">
        <f>IF('Google data'!F6&gt;10,"Large",IF('Google data'!F6&gt;2,"Mid","Small"))</f>
        <v>Large</v>
      </c>
      <c r="E6" s="22">
        <v>135</v>
      </c>
      <c r="F6" s="22">
        <v>71.89</v>
      </c>
      <c r="G6" s="13">
        <f t="shared" si="0"/>
        <v>9705.15</v>
      </c>
      <c r="H6" s="14">
        <f>STOCKS[[#This Row],[Price]]</f>
        <v>117.08</v>
      </c>
      <c r="I6" s="13">
        <f t="shared" si="1"/>
        <v>15805.8</v>
      </c>
      <c r="J6" s="15">
        <f>I6/$I$13</f>
        <v>7.9442869545326811E-2</v>
      </c>
      <c r="K6" s="13">
        <f t="shared" si="2"/>
        <v>6100.65</v>
      </c>
      <c r="L6" s="16">
        <f t="shared" si="3"/>
        <v>0.62859924885241336</v>
      </c>
      <c r="M6" s="17">
        <f>STOCKS[[#This Row],[Price Change]]*Dashboard!E6</f>
        <v>8.1</v>
      </c>
      <c r="N6" s="18">
        <f>STOCKS[[#This Row],[Price]]/STOCKS[[#This Row],[Price]]-STOCKS[[#This Row],[Price Change]]-1</f>
        <v>-6.0000000000000053E-2</v>
      </c>
    </row>
    <row r="7" spans="1:14" x14ac:dyDescent="0.3">
      <c r="A7" s="24" t="str">
        <f>STOCKS[[#This Row],[Company name]]</f>
        <v>AAPL</v>
      </c>
      <c r="B7" s="22" t="s">
        <v>40</v>
      </c>
      <c r="C7" s="22" t="s">
        <v>32</v>
      </c>
      <c r="D7" s="12" t="str">
        <f>IF('Google data'!F7&gt;10,"Large",IF('Google data'!F7&gt;2,"Mid","Small"))</f>
        <v>Large</v>
      </c>
      <c r="E7" s="22">
        <v>123</v>
      </c>
      <c r="F7" s="22">
        <v>82.42</v>
      </c>
      <c r="G7" s="13">
        <f t="shared" si="0"/>
        <v>10137.66</v>
      </c>
      <c r="H7" s="14">
        <f>STOCKS[[#This Row],[Price]]</f>
        <v>271.49</v>
      </c>
      <c r="I7" s="13">
        <f t="shared" si="1"/>
        <v>33393.270000000004</v>
      </c>
      <c r="J7" s="15">
        <f>I7/$I$13</f>
        <v>0.16784074151905476</v>
      </c>
      <c r="K7" s="13">
        <f t="shared" si="2"/>
        <v>23255.610000000004</v>
      </c>
      <c r="L7" s="16">
        <f t="shared" si="3"/>
        <v>2.2939820431934002</v>
      </c>
      <c r="M7" s="17">
        <f>STOCKS[[#This Row],[Price Change]]*Dashboard!E7</f>
        <v>644.52</v>
      </c>
      <c r="N7" s="18">
        <f>STOCKS[[#This Row],[Price]]/STOCKS[[#This Row],[Price]]-STOCKS[[#This Row],[Price Change]]-1</f>
        <v>-5.24</v>
      </c>
    </row>
    <row r="8" spans="1:14" x14ac:dyDescent="0.3">
      <c r="A8" s="24" t="str">
        <f>STOCKS[[#This Row],[Company name]]</f>
        <v>BMW</v>
      </c>
      <c r="B8" s="22" t="s">
        <v>9</v>
      </c>
      <c r="C8" s="22" t="s">
        <v>41</v>
      </c>
      <c r="D8" s="12" t="str">
        <f>IF('Google data'!F8&gt;10,"Large",IF('Google data'!F8&gt;2,"Mid","Small"))</f>
        <v>Large</v>
      </c>
      <c r="E8" s="22">
        <v>250</v>
      </c>
      <c r="F8" s="22">
        <v>59.65</v>
      </c>
      <c r="G8" s="13">
        <f t="shared" si="0"/>
        <v>14912.5</v>
      </c>
      <c r="H8" s="14">
        <f>STOCKS[[#This Row],[Price]]</f>
        <v>85.08</v>
      </c>
      <c r="I8" s="13">
        <f t="shared" si="1"/>
        <v>21270</v>
      </c>
      <c r="J8" s="15">
        <f>I8/$I$13</f>
        <v>0.1069069477805047</v>
      </c>
      <c r="K8" s="13">
        <f t="shared" si="2"/>
        <v>6357.5</v>
      </c>
      <c r="L8" s="16">
        <f t="shared" si="3"/>
        <v>0.42632020117351216</v>
      </c>
      <c r="M8" s="17">
        <f>STOCKS[[#This Row],[Price Change]]*Dashboard!E8</f>
        <v>165</v>
      </c>
      <c r="N8" s="18">
        <f>STOCKS[[#This Row],[Price]]/STOCKS[[#This Row],[Price]]-STOCKS[[#This Row],[Price Change]]-1</f>
        <v>-0.66</v>
      </c>
    </row>
    <row r="9" spans="1:14" x14ac:dyDescent="0.3">
      <c r="A9" s="24" t="str">
        <f>STOCKS[[#This Row],[Company name]]</f>
        <v>PG</v>
      </c>
      <c r="B9" s="22" t="s">
        <v>42</v>
      </c>
      <c r="C9" s="22" t="s">
        <v>34</v>
      </c>
      <c r="D9" s="12" t="str">
        <f>IF('Google data'!F9&gt;10,"Large",IF('Google data'!F9&gt;2,"Mid","Small"))</f>
        <v>Large</v>
      </c>
      <c r="E9" s="22">
        <v>100</v>
      </c>
      <c r="F9" s="22">
        <v>196.34</v>
      </c>
      <c r="G9" s="13">
        <f t="shared" si="0"/>
        <v>19634</v>
      </c>
      <c r="H9" s="14">
        <f>STOCKS[[#This Row],[Price]]</f>
        <v>150.91999999999999</v>
      </c>
      <c r="I9" s="13">
        <f t="shared" si="1"/>
        <v>15091.999999999998</v>
      </c>
      <c r="J9" s="15">
        <f>I9/$I$13</f>
        <v>7.5855178932927911E-2</v>
      </c>
      <c r="K9" s="13">
        <f t="shared" si="2"/>
        <v>-4542.0000000000018</v>
      </c>
      <c r="L9" s="16">
        <f t="shared" si="3"/>
        <v>-0.23133340124274226</v>
      </c>
      <c r="M9" s="17">
        <f>STOCKS[[#This Row],[Price Change]]*Dashboard!E9</f>
        <v>273</v>
      </c>
      <c r="N9" s="18">
        <f>STOCKS[[#This Row],[Price]]/STOCKS[[#This Row],[Price]]-STOCKS[[#This Row],[Price Change]]-1</f>
        <v>-2.73</v>
      </c>
    </row>
    <row r="10" spans="1:14" x14ac:dyDescent="0.3">
      <c r="A10" s="24" t="str">
        <f>STOCKS[[#This Row],[Company name]]</f>
        <v>MA</v>
      </c>
      <c r="B10" s="22" t="s">
        <v>43</v>
      </c>
      <c r="C10" s="22" t="s">
        <v>37</v>
      </c>
      <c r="D10" s="12" t="str">
        <f>IF('Google data'!F10&gt;10,"Large",IF('Google data'!F10&gt;2,"Mid","Small"))</f>
        <v>Large</v>
      </c>
      <c r="E10" s="22">
        <v>25</v>
      </c>
      <c r="F10" s="22">
        <v>622.04999999999995</v>
      </c>
      <c r="G10" s="13">
        <f t="shared" si="0"/>
        <v>15551.249999999998</v>
      </c>
      <c r="H10" s="14">
        <f>STOCKS[[#This Row],[Price]]</f>
        <v>540.4</v>
      </c>
      <c r="I10" s="13">
        <f t="shared" si="1"/>
        <v>13510</v>
      </c>
      <c r="J10" s="15">
        <f>I10/$I$13</f>
        <v>6.7903754796173887E-2</v>
      </c>
      <c r="K10" s="13">
        <f t="shared" si="2"/>
        <v>-2041.2499999999982</v>
      </c>
      <c r="L10" s="16">
        <f t="shared" si="3"/>
        <v>-0.13125954505264839</v>
      </c>
      <c r="M10" s="17">
        <f>STOCKS[[#This Row],[Price Change]]*Dashboard!E10</f>
        <v>313</v>
      </c>
      <c r="N10" s="18">
        <f>STOCKS[[#This Row],[Price]]/STOCKS[[#This Row],[Price]]-STOCKS[[#This Row],[Price Change]]-1</f>
        <v>-12.52</v>
      </c>
    </row>
    <row r="11" spans="1:14" x14ac:dyDescent="0.3">
      <c r="A11" s="24" t="str">
        <f>STOCKS[[#This Row],[Company name]]</f>
        <v>CLOV</v>
      </c>
      <c r="B11" s="22" t="s">
        <v>44</v>
      </c>
      <c r="C11" s="22" t="s">
        <v>45</v>
      </c>
      <c r="D11" s="12" t="str">
        <f>IF('Google data'!F11&gt;10,"Large",IF('Google data'!F11&gt;2,"Mid","Small"))</f>
        <v>Small</v>
      </c>
      <c r="E11" s="22">
        <v>7000</v>
      </c>
      <c r="F11" s="22">
        <v>2.2200000000000002</v>
      </c>
      <c r="G11" s="13">
        <f t="shared" si="0"/>
        <v>15540.000000000002</v>
      </c>
      <c r="H11" s="14">
        <f>STOCKS[[#This Row],[Price]]</f>
        <v>2.2799999999999998</v>
      </c>
      <c r="I11" s="13">
        <f t="shared" si="1"/>
        <v>15959.999999999998</v>
      </c>
      <c r="J11" s="15">
        <f>I11/$I$13</f>
        <v>8.0217907220350493E-2</v>
      </c>
      <c r="K11" s="13">
        <f t="shared" si="2"/>
        <v>419.99999999999636</v>
      </c>
      <c r="L11" s="16">
        <f t="shared" si="3"/>
        <v>2.7027027027026789E-2</v>
      </c>
      <c r="M11" s="17">
        <f>STOCKS[[#This Row],[Price Change]]*Dashboard!E11</f>
        <v>840</v>
      </c>
      <c r="N11" s="18">
        <f>STOCKS[[#This Row],[Price]]/STOCKS[[#This Row],[Price]]-STOCKS[[#This Row],[Price Change]]-1</f>
        <v>-0.12</v>
      </c>
    </row>
    <row r="12" spans="1:14" ht="16.2" thickBot="1" x14ac:dyDescent="0.35">
      <c r="A12" s="24" t="str">
        <f>STOCKS[[#This Row],[Company name]]</f>
        <v>TM</v>
      </c>
      <c r="B12" s="22" t="s">
        <v>46</v>
      </c>
      <c r="C12" s="22" t="s">
        <v>41</v>
      </c>
      <c r="D12" s="12" t="str">
        <f>IF('Google data'!F12&gt;10,"Large",IF('Google data'!F12&gt;2,"Mid","Small"))</f>
        <v>Large</v>
      </c>
      <c r="E12" s="33">
        <v>50</v>
      </c>
      <c r="F12" s="22">
        <v>261.73</v>
      </c>
      <c r="G12" s="13">
        <f t="shared" si="0"/>
        <v>13086.5</v>
      </c>
      <c r="H12" s="14">
        <f>STOCKS[[#This Row],[Price]]</f>
        <v>197.62</v>
      </c>
      <c r="I12" s="13">
        <f t="shared" si="1"/>
        <v>9881</v>
      </c>
      <c r="J12" s="15">
        <f>I12/$I$13</f>
        <v>4.9663730654403715E-2</v>
      </c>
      <c r="K12" s="13">
        <f t="shared" si="2"/>
        <v>-3205.5</v>
      </c>
      <c r="L12" s="16">
        <f t="shared" si="3"/>
        <v>-0.24494708287166164</v>
      </c>
      <c r="M12" s="17">
        <f>STOCKS[[#This Row],[Price Change]]*Dashboard!E12</f>
        <v>318.5</v>
      </c>
      <c r="N12" s="18">
        <f>STOCKS[[#This Row],[Price]]/STOCKS[[#This Row],[Price]]-STOCKS[[#This Row],[Price Change]]-1</f>
        <v>-6.37</v>
      </c>
    </row>
    <row r="13" spans="1:14" ht="15" thickBot="1" x14ac:dyDescent="0.35">
      <c r="A13" s="25" t="s">
        <v>47</v>
      </c>
      <c r="B13" s="26"/>
      <c r="C13" s="26"/>
      <c r="D13" s="26"/>
      <c r="E13" s="26"/>
      <c r="F13" s="26"/>
      <c r="G13" s="27">
        <f>SUM(G2:G12)</f>
        <v>193531.06</v>
      </c>
      <c r="H13" s="26"/>
      <c r="I13" s="27">
        <f>SUM(I2:I12)</f>
        <v>198958.07</v>
      </c>
      <c r="J13" s="26"/>
      <c r="K13" s="27">
        <f>SUM(K2:K12)</f>
        <v>5427.01</v>
      </c>
      <c r="L13" s="28"/>
      <c r="M13" s="27">
        <f>SUM(M2:M12)</f>
        <v>3339.12</v>
      </c>
      <c r="N13" s="29"/>
    </row>
    <row r="23" spans="4:4" x14ac:dyDescent="0.3">
      <c r="D23" s="4"/>
    </row>
  </sheetData>
  <conditionalFormatting sqref="K2:N13">
    <cfRule type="cellIs" dxfId="2" priority="2" operator="greaterThan">
      <formula>0</formula>
    </cfRule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7C81-8246-4DF6-8925-7195410ACA4A}">
  <dimension ref="A1:G7"/>
  <sheetViews>
    <sheetView workbookViewId="0">
      <selection activeCell="D9" sqref="D9"/>
    </sheetView>
  </sheetViews>
  <sheetFormatPr defaultRowHeight="14.4" x14ac:dyDescent="0.3"/>
  <cols>
    <col min="6" max="6" width="21.6640625" customWidth="1"/>
    <col min="7" max="7" width="30.5546875" customWidth="1"/>
  </cols>
  <sheetData>
    <row r="1" spans="1:7" ht="15" thickBot="1" x14ac:dyDescent="0.35">
      <c r="A1" t="s">
        <v>48</v>
      </c>
      <c r="B1" t="s">
        <v>52</v>
      </c>
      <c r="F1" t="s">
        <v>53</v>
      </c>
      <c r="G1" t="s">
        <v>52</v>
      </c>
    </row>
    <row r="2" spans="1:7" x14ac:dyDescent="0.3">
      <c r="A2" t="s">
        <v>49</v>
      </c>
      <c r="B2" s="3">
        <f>SUMIF(Dashboard!$D$2:$D$12,Support!A2,Dashboard!$J$2:$J$12)</f>
        <v>9.8437826623468949E-2</v>
      </c>
      <c r="F2" s="19" t="s">
        <v>32</v>
      </c>
      <c r="G2" s="3">
        <f>SUMIF(Dashboard!C2:C12,Support!F2,Dashboard!J2:J12)</f>
        <v>0.35924287966806273</v>
      </c>
    </row>
    <row r="3" spans="1:7" x14ac:dyDescent="0.3">
      <c r="A3" t="s">
        <v>50</v>
      </c>
      <c r="B3" s="3">
        <f>SUMIF(Dashboard!$D$2:$D$12,Support!A3,Dashboard!$J$2:$J$12)</f>
        <v>0.17318221874588952</v>
      </c>
      <c r="F3" s="20" t="s">
        <v>34</v>
      </c>
      <c r="G3" s="3">
        <f>SUMIF(Dashboard!C3:C13,Support!F3,Dashboard!J3:J13)</f>
        <v>0.18172673267286921</v>
      </c>
    </row>
    <row r="4" spans="1:7" x14ac:dyDescent="0.3">
      <c r="A4" t="s">
        <v>51</v>
      </c>
      <c r="B4" s="3">
        <f>SUMIF(Dashboard!$D$2:$D$12,Support!A4,Dashboard!$J$2:$J$12)</f>
        <v>0.72837995463064154</v>
      </c>
      <c r="F4" s="20" t="s">
        <v>37</v>
      </c>
      <c r="G4" s="3">
        <f>SUMIF(Dashboard!C4:C14,Support!F4,Dashboard!J4:J14)</f>
        <v>0.14279893245848232</v>
      </c>
    </row>
    <row r="5" spans="1:7" x14ac:dyDescent="0.3">
      <c r="F5" s="20" t="s">
        <v>39</v>
      </c>
      <c r="G5" s="3">
        <f>SUMIF(Dashboard!C5:C15,Support!F5,Dashboard!J5:J15)</f>
        <v>7.9442869545326811E-2</v>
      </c>
    </row>
    <row r="6" spans="1:7" x14ac:dyDescent="0.3">
      <c r="F6" s="20" t="s">
        <v>41</v>
      </c>
      <c r="G6" s="3">
        <f>SUMIF(Dashboard!C6:C16,Support!F6,Dashboard!J6:J16)</f>
        <v>0.15657067843490841</v>
      </c>
    </row>
    <row r="7" spans="1:7" x14ac:dyDescent="0.3">
      <c r="F7" s="20" t="s">
        <v>45</v>
      </c>
      <c r="G7" s="3">
        <f>SUMIF(Dashboard!C7:C17,Support!F7,Dashboard!J7:J17)</f>
        <v>8.0217907220350493E-2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6A60CB-BC8F-416A-BEB1-8B536CE804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 data</vt:lpstr>
      <vt:lpstr>Dashboard</vt:lpstr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Pattanaik</dc:creator>
  <cp:lastModifiedBy>Asis Pattanaik</cp:lastModifiedBy>
  <dcterms:created xsi:type="dcterms:W3CDTF">2025-11-23T17:53:14Z</dcterms:created>
  <dcterms:modified xsi:type="dcterms:W3CDTF">2025-11-23T20:36:15Z</dcterms:modified>
</cp:coreProperties>
</file>